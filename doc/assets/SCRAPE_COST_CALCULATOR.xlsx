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₹&quot;#,##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1F4E78"/>
      <sz val="10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3" fontId="5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0" borderId="1" pivotButton="0" quotePrefix="0" xfId="0"/>
    <xf numFmtId="164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4" fillId="7" borderId="1" pivotButton="0" quotePrefix="0" xfId="0"/>
    <xf numFmtId="3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6" customHeight="1">
      <c r="B1" s="1" t="inlineStr">
        <is>
          <t>Cross-Platform Price-Tracking — Scrape Cost &amp; Margin Calculator</t>
        </is>
      </c>
    </row>
    <row r="2">
      <c r="B2" s="2" t="inlineStr">
        <is>
          <t>Edit the yellow cells. Everything else updates automatically.</t>
        </is>
      </c>
    </row>
    <row r="4">
      <c r="B4" s="3" t="inlineStr">
        <is>
          <t>INPUTS  (edit these)</t>
        </is>
      </c>
      <c r="C4" s="3" t="inlineStr"/>
    </row>
    <row r="5">
      <c r="B5" s="4" t="inlineStr">
        <is>
          <t>SKUs</t>
        </is>
      </c>
      <c r="C5" s="5" t="n">
        <v>90</v>
      </c>
    </row>
    <row r="6">
      <c r="B6" s="4" t="inlineStr">
        <is>
          <t>Variants per SKU</t>
        </is>
      </c>
      <c r="C6" s="5" t="n">
        <v>3</v>
      </c>
    </row>
    <row r="7">
      <c r="B7" s="4" t="inlineStr">
        <is>
          <t>Marketplace platforms (national price)</t>
        </is>
      </c>
      <c r="C7" s="5" t="n">
        <v>3</v>
      </c>
    </row>
    <row r="8">
      <c r="B8" s="4" t="inlineStr">
        <is>
          <t>Quick-commerce platforms (per-city price)</t>
        </is>
      </c>
      <c r="C8" s="5" t="n">
        <v>3</v>
      </c>
    </row>
    <row r="9">
      <c r="B9" s="4" t="inlineStr">
        <is>
          <t>Cities / locations tracked (q-commerce)</t>
        </is>
      </c>
      <c r="C9" s="5" t="n">
        <v>10</v>
      </c>
    </row>
    <row r="10">
      <c r="B10" s="4" t="inlineStr">
        <is>
          <t>Hours between scrapes</t>
        </is>
      </c>
      <c r="C10" s="5" t="n">
        <v>4</v>
      </c>
    </row>
    <row r="11">
      <c r="B11" s="4" t="inlineStr">
        <is>
          <t>Days per month</t>
        </is>
      </c>
      <c r="C11" s="5" t="n">
        <v>30</v>
      </c>
    </row>
    <row r="12">
      <c r="B12" s="4" t="inlineStr">
        <is>
          <t>Cost per 1,000 requests (₹)</t>
        </is>
      </c>
      <c r="C12" s="5" t="n">
        <v>40</v>
      </c>
    </row>
    <row r="13">
      <c r="B13" s="4" t="inlineStr">
        <is>
          <t>Subscription price to brand (₹/mo)</t>
        </is>
      </c>
      <c r="C13" s="5" t="n">
        <v>100000</v>
      </c>
    </row>
    <row r="15">
      <c r="B15" s="3" t="inlineStr">
        <is>
          <t>RESULTS  (auto-calculated)</t>
        </is>
      </c>
      <c r="C15" s="3" t="inlineStr"/>
    </row>
    <row r="16">
      <c r="B16" s="4" t="inlineStr">
        <is>
          <t>Total items tracked</t>
        </is>
      </c>
      <c r="C16" s="6">
        <f>C5*C6</f>
        <v/>
      </c>
    </row>
    <row r="17">
      <c r="B17" s="4" t="inlineStr">
        <is>
          <t>Sweeps per day</t>
        </is>
      </c>
      <c r="C17" s="7">
        <f>24/C10</f>
        <v/>
      </c>
    </row>
    <row r="18">
      <c r="B18" s="4" t="inlineStr">
        <is>
          <t>Checks per sweep — marketplaces</t>
        </is>
      </c>
      <c r="C18" s="6">
        <f>C16*C7*1</f>
        <v/>
      </c>
    </row>
    <row r="19">
      <c r="B19" s="4" t="inlineStr">
        <is>
          <t>Checks per sweep — quick-commerce</t>
        </is>
      </c>
      <c r="C19" s="6">
        <f>C16*C8*C9</f>
        <v/>
      </c>
    </row>
    <row r="20">
      <c r="B20" s="4" t="inlineStr">
        <is>
          <t>Checks per sweep — TOTAL</t>
        </is>
      </c>
      <c r="C20" s="6">
        <f>C18+C19</f>
        <v/>
      </c>
    </row>
    <row r="21">
      <c r="B21" s="4" t="inlineStr">
        <is>
          <t>Checks per DAY</t>
        </is>
      </c>
      <c r="C21" s="6">
        <f>C20*C17</f>
        <v/>
      </c>
    </row>
    <row r="22">
      <c r="B22" s="4" t="inlineStr">
        <is>
          <t>Checks per MONTH</t>
        </is>
      </c>
      <c r="C22" s="6">
        <f>C21*C11</f>
        <v/>
      </c>
    </row>
    <row r="23">
      <c r="B23" s="4" t="inlineStr">
        <is>
          <t>Monthly infra cost (₹)</t>
        </is>
      </c>
      <c r="C23" s="8">
        <f>C22/1000*C12</f>
        <v/>
      </c>
    </row>
    <row r="24">
      <c r="B24" s="4" t="inlineStr">
        <is>
          <t>Gross margin (₹/month)</t>
        </is>
      </c>
      <c r="C24" s="8">
        <f>C13-C23</f>
        <v/>
      </c>
    </row>
    <row r="25">
      <c r="B25" s="4" t="inlineStr">
        <is>
          <t>Gross margin %</t>
        </is>
      </c>
      <c r="C25" s="9">
        <f>IF(C13=0,0,C24/C13)</f>
        <v/>
      </c>
    </row>
    <row r="26">
      <c r="B26" s="4" t="inlineStr">
        <is>
          <t>Infra cost per item (₹/mo)</t>
        </is>
      </c>
      <c r="C26" s="8">
        <f>IF(C16=0,0,C23/C16)</f>
        <v/>
      </c>
    </row>
    <row r="28">
      <c r="B28" s="3" t="inlineStr">
        <is>
          <t>FREQUENCY SENSITIVITY  (at current items / platforms / cities / cost)</t>
        </is>
      </c>
      <c r="C28" s="3" t="inlineStr"/>
      <c r="D28" s="3" t="inlineStr"/>
      <c r="E28" s="3" t="inlineStr"/>
      <c r="F28" s="3" t="inlineStr"/>
    </row>
    <row r="29">
      <c r="B29" s="10" t="inlineStr">
        <is>
          <t>Scrape every…</t>
        </is>
      </c>
      <c r="C29" s="10" t="inlineStr">
        <is>
          <t>Sweeps/day</t>
        </is>
      </c>
      <c r="D29" s="10" t="inlineStr">
        <is>
          <t>Checks/month</t>
        </is>
      </c>
      <c r="E29" s="10" t="inlineStr">
        <is>
          <t>Infra ₹/mo</t>
        </is>
      </c>
      <c r="F29" s="10" t="inlineStr">
        <is>
          <t>Margin ₹/mo</t>
        </is>
      </c>
      <c r="G29" s="10" t="inlineStr">
        <is>
          <t>Margin %</t>
        </is>
      </c>
    </row>
    <row r="30">
      <c r="B30" s="11" t="inlineStr">
        <is>
          <t>Every 1 hour</t>
        </is>
      </c>
      <c r="C30" s="12">
        <f>24/1</f>
        <v/>
      </c>
      <c r="D30" s="13">
        <f>$C$20*(24/1)*$C$11</f>
        <v/>
      </c>
      <c r="E30" s="14">
        <f>D30/1000*$C$12</f>
        <v/>
      </c>
      <c r="F30" s="14">
        <f>$C$13-E30</f>
        <v/>
      </c>
      <c r="G30" s="15">
        <f>IF($C$13=0,0,F30/$C$13)</f>
        <v/>
      </c>
    </row>
    <row r="31">
      <c r="B31" s="11" t="inlineStr">
        <is>
          <t>Every 2 hours</t>
        </is>
      </c>
      <c r="C31" s="12">
        <f>24/2</f>
        <v/>
      </c>
      <c r="D31" s="13">
        <f>$C$20*(24/2)*$C$11</f>
        <v/>
      </c>
      <c r="E31" s="14">
        <f>D31/1000*$C$12</f>
        <v/>
      </c>
      <c r="F31" s="14">
        <f>$C$13-E31</f>
        <v/>
      </c>
      <c r="G31" s="15">
        <f>IF($C$13=0,0,F31/$C$13)</f>
        <v/>
      </c>
    </row>
    <row r="32">
      <c r="B32" s="11" t="inlineStr">
        <is>
          <t>Every 4 hours</t>
        </is>
      </c>
      <c r="C32" s="12">
        <f>24/4</f>
        <v/>
      </c>
      <c r="D32" s="13">
        <f>$C$20*(24/4)*$C$11</f>
        <v/>
      </c>
      <c r="E32" s="14">
        <f>D32/1000*$C$12</f>
        <v/>
      </c>
      <c r="F32" s="14">
        <f>$C$13-E32</f>
        <v/>
      </c>
      <c r="G32" s="15">
        <f>IF($C$13=0,0,F32/$C$13)</f>
        <v/>
      </c>
    </row>
    <row r="33">
      <c r="B33" s="11" t="inlineStr">
        <is>
          <t>Every 6 hours</t>
        </is>
      </c>
      <c r="C33" s="12">
        <f>24/6</f>
        <v/>
      </c>
      <c r="D33" s="13">
        <f>$C$20*(24/6)*$C$11</f>
        <v/>
      </c>
      <c r="E33" s="14">
        <f>D33/1000*$C$12</f>
        <v/>
      </c>
      <c r="F33" s="14">
        <f>$C$13-E33</f>
        <v/>
      </c>
      <c r="G33" s="15">
        <f>IF($C$13=0,0,F33/$C$13)</f>
        <v/>
      </c>
    </row>
    <row r="34">
      <c r="B34" s="11" t="inlineStr">
        <is>
          <t>Every 8 hours</t>
        </is>
      </c>
      <c r="C34" s="12">
        <f>24/8</f>
        <v/>
      </c>
      <c r="D34" s="13">
        <f>$C$20*(24/8)*$C$11</f>
        <v/>
      </c>
      <c r="E34" s="14">
        <f>D34/1000*$C$12</f>
        <v/>
      </c>
      <c r="F34" s="14">
        <f>$C$13-E34</f>
        <v/>
      </c>
      <c r="G34" s="15">
        <f>IF($C$13=0,0,F34/$C$13)</f>
        <v/>
      </c>
    </row>
    <row r="35">
      <c r="B35" s="11" t="inlineStr">
        <is>
          <t>Every 12 hours</t>
        </is>
      </c>
      <c r="C35" s="12">
        <f>24/12</f>
        <v/>
      </c>
      <c r="D35" s="13">
        <f>$C$20*(24/12)*$C$11</f>
        <v/>
      </c>
      <c r="E35" s="14">
        <f>D35/1000*$C$12</f>
        <v/>
      </c>
      <c r="F35" s="14">
        <f>$C$13-E35</f>
        <v/>
      </c>
      <c r="G35" s="15">
        <f>IF($C$13=0,0,F35/$C$13)</f>
        <v/>
      </c>
    </row>
    <row r="36">
      <c r="B36" s="11" t="inlineStr">
        <is>
          <t>Once a day</t>
        </is>
      </c>
      <c r="C36" s="12">
        <f>24/24</f>
        <v/>
      </c>
      <c r="D36" s="13">
        <f>$C$20*(24/24)*$C$11</f>
        <v/>
      </c>
      <c r="E36" s="14">
        <f>D36/1000*$C$12</f>
        <v/>
      </c>
      <c r="F36" s="14">
        <f>$C$13-E36</f>
        <v/>
      </c>
      <c r="G36" s="15">
        <f>IF($C$13=0,0,F36/$C$13)</f>
        <v/>
      </c>
    </row>
    <row r="38">
      <c r="B38" s="3" t="inlineStr">
        <is>
          <t>COLLECTION-METHOD COST TIERS  (at current frequency &amp; volume)</t>
        </is>
      </c>
      <c r="C38" s="3" t="inlineStr"/>
      <c r="D38" s="3" t="inlineStr"/>
      <c r="E38" s="3" t="inlineStr"/>
      <c r="F38" s="3" t="inlineStr"/>
    </row>
    <row r="39">
      <c r="B39" s="10" t="inlineStr">
        <is>
          <t>Method</t>
        </is>
      </c>
      <c r="C39" s="10" t="inlineStr">
        <is>
          <t>₹/1,000</t>
        </is>
      </c>
      <c r="D39" s="10" t="inlineStr">
        <is>
          <t>Infra ₹/mo</t>
        </is>
      </c>
      <c r="E39" s="10" t="inlineStr">
        <is>
          <t>Margin ₹/mo</t>
        </is>
      </c>
      <c r="F39" s="10" t="inlineStr">
        <is>
          <t>Margin %</t>
        </is>
      </c>
    </row>
    <row r="40">
      <c r="B40" s="16" t="inlineStr">
        <is>
          <t>Cheap — datacenter proxy + JSON API (higher ban risk)</t>
        </is>
      </c>
      <c r="C40" s="17" t="n">
        <v>15</v>
      </c>
      <c r="D40" s="18">
        <f>$C$22/1000*C40</f>
        <v/>
      </c>
      <c r="E40" s="18">
        <f>$C$13-D40</f>
        <v/>
      </c>
      <c r="F40" s="19">
        <f>IF($C$13=0,0,E40/$C$13)</f>
        <v/>
      </c>
    </row>
    <row r="41">
      <c r="B41" s="16" t="inlineStr">
        <is>
          <t>Mid — residential proxy + JSON API</t>
        </is>
      </c>
      <c r="C41" s="17" t="n">
        <v>40</v>
      </c>
      <c r="D41" s="18">
        <f>$C$22/1000*C41</f>
        <v/>
      </c>
      <c r="E41" s="18">
        <f>$C$13-D41</f>
        <v/>
      </c>
      <c r="F41" s="19">
        <f>IF($C$13=0,0,E41/$C$13)</f>
        <v/>
      </c>
    </row>
    <row r="42">
      <c r="B42" s="16" t="inlineStr">
        <is>
          <t>Premium — managed unblocker / browser</t>
        </is>
      </c>
      <c r="C42" s="17" t="n">
        <v>120</v>
      </c>
      <c r="D42" s="18">
        <f>$C$22/1000*C42</f>
        <v/>
      </c>
      <c r="E42" s="18">
        <f>$C$13-D42</f>
        <v/>
      </c>
      <c r="F42" s="19">
        <f>IF($C$13=0,0,E42/$C$13)</f>
        <v/>
      </c>
    </row>
    <row r="44">
      <c r="B44" s="2" t="inlineStr">
        <is>
          <t>Notes:</t>
        </is>
      </c>
    </row>
    <row r="45">
      <c r="B45" s="2" t="inlineStr">
        <is>
          <t>• Marketplaces (Amazon/Flipkart/JioMart) price nationally → counted at 1 location.</t>
        </is>
      </c>
    </row>
    <row r="46">
      <c r="B46" s="2" t="inlineStr">
        <is>
          <t>• Quick-commerce (Blinkit/Zepto/Instamart) prices are per-city → multiplied by cities.</t>
        </is>
      </c>
    </row>
    <row r="47">
      <c r="B47" s="2" t="inlineStr">
        <is>
          <t>• 'Checks' = one price read for one item on one platform in one location.</t>
        </is>
      </c>
    </row>
    <row r="48">
      <c r="B48" s="2" t="inlineStr">
        <is>
          <t>• Cities is the biggest cost lever — keep to your priority 5-10, not all of India.</t>
        </is>
      </c>
    </row>
    <row r="49">
      <c r="B49" s="2" t="inlineStr">
        <is>
          <t>• Use JSON private APIs (cheap) wherever possible; browsers cost 30-100x more.</t>
        </is>
      </c>
    </row>
    <row r="50">
      <c r="B50" s="2" t="inlineStr">
        <is>
          <t>• Flat frequency is wasteful — tiering (hero SKUs frequent, tail daily) cuts 50-70% more.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2026-06-04T16:21:24Z</dcterms:created>
  <dcterms:modified xsi:type="dcterms:W3CDTF">2026-06-04T16:21:24Z</dcterms:modified>
</cp:coreProperties>
</file>